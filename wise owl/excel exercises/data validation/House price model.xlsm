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ortfolio\Excel practices\wise owl\excel exercises\data validation\"/>
    </mc:Choice>
  </mc:AlternateContent>
  <bookViews>
    <workbookView xWindow="0" yWindow="0" windowWidth="23040" windowHeight="9504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Regions">Regions!$A$1:$A$10</definedName>
    <definedName name="Term">Inputs!$D$12</definedName>
  </definedNames>
  <calcPr calcId="152511"/>
</workbook>
</file>

<file path=xl/calcChain.xml><?xml version="1.0" encoding="utf-8"?>
<calcChain xmlns="http://schemas.openxmlformats.org/spreadsheetml/2006/main">
  <c r="D9" i="1" l="1"/>
  <c r="C6" i="2" s="1"/>
  <c r="B3" i="2"/>
  <c r="C4" i="2" l="1"/>
  <c r="D21" i="2"/>
  <c r="D10" i="2"/>
  <c r="D24" i="2"/>
  <c r="C21" i="2"/>
  <c r="D17" i="2"/>
  <c r="C10" i="2"/>
  <c r="C24" i="2"/>
  <c r="C17" i="2"/>
  <c r="D13" i="2"/>
  <c r="D9" i="2"/>
  <c r="D5" i="2"/>
  <c r="D27" i="2"/>
  <c r="D20" i="2"/>
  <c r="C27" i="2"/>
  <c r="D23" i="2"/>
  <c r="C20" i="2"/>
  <c r="D16" i="2"/>
  <c r="C13" i="2"/>
  <c r="C9" i="2"/>
  <c r="C5" i="2"/>
  <c r="D14" i="1"/>
  <c r="D4" i="2"/>
  <c r="C23" i="2"/>
  <c r="D12" i="2"/>
  <c r="D22" i="2"/>
  <c r="D15" i="2"/>
  <c r="C22" i="2"/>
  <c r="D18" i="2"/>
  <c r="C15" i="2"/>
  <c r="D11" i="2"/>
  <c r="D7" i="2"/>
  <c r="D3" i="2"/>
  <c r="C25" i="2"/>
  <c r="C14" i="2"/>
  <c r="D6" i="2"/>
  <c r="E6" i="2" s="1"/>
  <c r="D26" i="2"/>
  <c r="D19" i="2"/>
  <c r="C16" i="2"/>
  <c r="D8" i="2"/>
  <c r="C26" i="2"/>
  <c r="C19" i="2"/>
  <c r="C12" i="2"/>
  <c r="C8" i="2"/>
  <c r="D25" i="2"/>
  <c r="C18" i="2"/>
  <c r="D14" i="2"/>
  <c r="C11" i="2"/>
  <c r="C7" i="2"/>
  <c r="C3" i="2"/>
  <c r="E22" i="2" l="1"/>
  <c r="E12" i="2"/>
  <c r="E16" i="2"/>
  <c r="E3" i="2"/>
  <c r="F3" i="2" s="1"/>
  <c r="B4" i="2" s="1"/>
  <c r="B5" i="2" s="1"/>
  <c r="B6" i="2" s="1"/>
  <c r="E25" i="2"/>
  <c r="E19" i="2"/>
  <c r="E20" i="2"/>
  <c r="E27" i="2"/>
  <c r="E5" i="2"/>
  <c r="E24" i="2"/>
  <c r="E4" i="2"/>
  <c r="E10" i="2"/>
  <c r="E17" i="2"/>
  <c r="E8" i="2"/>
  <c r="E7" i="2"/>
  <c r="E23" i="2"/>
  <c r="E14" i="2"/>
  <c r="E11" i="2"/>
  <c r="E26" i="2"/>
  <c r="E18" i="2"/>
  <c r="E21" i="2"/>
  <c r="E15" i="2"/>
  <c r="E13" i="2"/>
  <c r="E9" i="2"/>
  <c r="F5" i="2" l="1"/>
  <c r="F4" i="2"/>
  <c r="F6" i="2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<sst xmlns="http://schemas.openxmlformats.org/spreadsheetml/2006/main" count="24" uniqueCount="22">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</sst>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&quot;£&quot;#,##0"/>
  </numFmts>
  <fonts count="10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8" fillId="0" borderId="0" xfId="0" applyFont="1"/>
    <xf numFmtId="168" fontId="2" fillId="0" borderId="9" xfId="0" applyNumberFormat="1" applyFont="1" applyBorder="1" applyProtection="1">
      <protection hidden="1"/>
    </xf>
    <xf numFmtId="10" fontId="0" fillId="0" borderId="0" xfId="3" applyNumberFormat="1" applyFont="1" applyBorder="1" applyProtection="1">
      <protection hidden="1"/>
    </xf>
    <xf numFmtId="10" fontId="2" fillId="0" borderId="0" xfId="3" applyNumberFormat="1" applyFont="1" applyBorder="1" applyProtection="1">
      <protection hidden="1"/>
    </xf>
    <xf numFmtId="167" fontId="0" fillId="0" borderId="0" xfId="1" applyFont="1" applyBorder="1" applyProtection="1">
      <protection hidden="1"/>
    </xf>
    <xf numFmtId="168" fontId="2" fillId="0" borderId="0" xfId="2" applyNumberFormat="1" applyFont="1" applyBorder="1" applyProtection="1">
      <protection hidden="1"/>
    </xf>
    <xf numFmtId="0" fontId="0" fillId="3" borderId="0" xfId="0" applyFill="1" applyProtection="1">
      <protection locked="0"/>
    </xf>
    <xf numFmtId="168" fontId="2" fillId="0" borderId="0" xfId="2" applyNumberFormat="1" applyFont="1" applyBorder="1" applyProtection="1">
      <protection locked="0"/>
    </xf>
    <xf numFmtId="168" fontId="2" fillId="3" borderId="0" xfId="2" applyNumberFormat="1" applyFont="1" applyFill="1" applyBorder="1" applyProtection="1">
      <protection locked="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15240</xdr:rowOff>
        </xdr:from>
        <xdr:to>
          <xdr:col>4</xdr:col>
          <xdr:colOff>7620</xdr:colOff>
          <xdr:row>18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5"/>
  <sheetViews>
    <sheetView showGridLines="0" tabSelected="1" workbookViewId="0">
      <selection activeCell="D8" sqref="D8"/>
    </sheetView>
  </sheetViews>
  <sheetFormatPr defaultRowHeight="13.2" x14ac:dyDescent="0.25"/>
  <cols>
    <col min="1" max="1" width="4.109375" customWidth="1"/>
    <col min="2" max="2" width="3.33203125" customWidth="1"/>
    <col min="3" max="3" width="20.88671875" customWidth="1"/>
    <col min="4" max="4" width="11.33203125" customWidth="1"/>
    <col min="5" max="5" width="3" customWidth="1"/>
  </cols>
  <sheetData>
    <row r="2" spans="2:5" x14ac:dyDescent="0.25">
      <c r="B2" s="8"/>
      <c r="C2" s="9"/>
      <c r="D2" s="9"/>
      <c r="E2" s="10"/>
    </row>
    <row r="3" spans="2:5" ht="15" x14ac:dyDescent="0.25">
      <c r="B3" s="11"/>
      <c r="C3" s="12" t="s">
        <v>0</v>
      </c>
      <c r="D3" s="13"/>
      <c r="E3" s="14"/>
    </row>
    <row r="4" spans="2:5" ht="6.75" customHeight="1" x14ac:dyDescent="0.25">
      <c r="B4" s="11"/>
      <c r="C4" s="15"/>
      <c r="D4" s="16"/>
      <c r="E4" s="14"/>
    </row>
    <row r="5" spans="2:5" ht="13.5" customHeight="1" x14ac:dyDescent="0.25">
      <c r="B5" s="11"/>
      <c r="C5" s="22" t="s">
        <v>11</v>
      </c>
      <c r="D5" s="28" t="s">
        <v>15</v>
      </c>
      <c r="E5" s="14"/>
    </row>
    <row r="6" spans="2:5" ht="13.5" customHeight="1" x14ac:dyDescent="0.25">
      <c r="B6" s="11"/>
      <c r="C6" s="20"/>
      <c r="D6" s="29"/>
      <c r="E6" s="14"/>
    </row>
    <row r="7" spans="2:5" ht="13.5" customHeight="1" x14ac:dyDescent="0.25">
      <c r="B7" s="11"/>
      <c r="C7" s="20" t="s">
        <v>1</v>
      </c>
      <c r="D7" s="30">
        <v>200000</v>
      </c>
      <c r="E7" s="14"/>
    </row>
    <row r="8" spans="2:5" x14ac:dyDescent="0.25">
      <c r="B8" s="11"/>
      <c r="C8" s="20" t="s">
        <v>2</v>
      </c>
      <c r="D8" s="30">
        <v>20000</v>
      </c>
      <c r="E8" s="14"/>
    </row>
    <row r="9" spans="2:5" x14ac:dyDescent="0.25">
      <c r="B9" s="11"/>
      <c r="C9" s="20"/>
      <c r="D9" s="23">
        <f>D7-D8</f>
        <v>180000</v>
      </c>
      <c r="E9" s="14"/>
    </row>
    <row r="10" spans="2:5" x14ac:dyDescent="0.25">
      <c r="B10" s="11"/>
      <c r="C10" s="21"/>
      <c r="D10" s="24"/>
      <c r="E10" s="14"/>
    </row>
    <row r="11" spans="2:5" x14ac:dyDescent="0.25">
      <c r="B11" s="11"/>
      <c r="C11" s="20" t="s">
        <v>3</v>
      </c>
      <c r="D11" s="25">
        <v>5.5E-2</v>
      </c>
      <c r="E11" s="14"/>
    </row>
    <row r="12" spans="2:5" x14ac:dyDescent="0.25">
      <c r="B12" s="11"/>
      <c r="C12" s="20" t="s">
        <v>9</v>
      </c>
      <c r="D12" s="26">
        <v>25</v>
      </c>
      <c r="E12" s="14"/>
    </row>
    <row r="13" spans="2:5" x14ac:dyDescent="0.25">
      <c r="B13" s="11"/>
      <c r="C13" s="20"/>
      <c r="D13" s="26"/>
      <c r="E13" s="14"/>
    </row>
    <row r="14" spans="2:5" x14ac:dyDescent="0.25">
      <c r="B14" s="11"/>
      <c r="C14" s="20" t="s">
        <v>8</v>
      </c>
      <c r="D14" s="27">
        <f>-PMT(Interest,Term,InitialMortgage,0)/12</f>
        <v>1118.2402941965777</v>
      </c>
      <c r="E14" s="14"/>
    </row>
    <row r="15" spans="2:5" x14ac:dyDescent="0.25">
      <c r="B15" s="17"/>
      <c r="C15" s="18"/>
      <c r="D15" s="18"/>
      <c r="E15" s="19"/>
    </row>
  </sheetData>
  <sheetProtection sheet="1" objects="1" scenarios="1" selectLockedCells="1"/>
  <phoneticPr fontId="0" type="noConversion"/>
  <dataValidations count="4">
    <dataValidation type="whole" allowBlank="1" showInputMessage="1" showErrorMessage="1" errorTitle="Invalid house price" error="Your house price can't possibly cost this much!" sqref="D6">
      <formula1>0</formula1>
      <formula2>1000000</formula2>
    </dataValidation>
    <dataValidation type="list" errorStyle="information" showInputMessage="1" sqref="D5">
      <formula1>Regions</formula1>
    </dataValidation>
    <dataValidation type="whole" operator="lessThan" allowBlank="1" showInputMessage="1" showErrorMessage="1" errorTitle="Too much" error="Your house cannot cost this much." sqref="D7">
      <formula1>1000000</formula1>
    </dataValidation>
    <dataValidation type="whole" operator="greaterThan" allowBlank="1" showInputMessage="1" showErrorMessage="1" errorTitle="More Deposit needed" error="Deposit must be larger" sqref="D8">
      <formula1>10000</formula1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15240</xdr:rowOff>
                  </from>
                  <to>
                    <xdr:col>4</xdr:col>
                    <xdr:colOff>7620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defaultRowHeight="13.2" x14ac:dyDescent="0.25"/>
  <cols>
    <col min="1" max="1" width="5.109375" customWidth="1"/>
    <col min="2" max="5" width="12.88671875" customWidth="1"/>
    <col min="6" max="6" width="14" customWidth="1"/>
  </cols>
  <sheetData>
    <row r="1" spans="1:6" x14ac:dyDescent="0.25">
      <c r="A1" s="1"/>
      <c r="B1" s="2"/>
      <c r="C1" s="2"/>
      <c r="D1" s="2"/>
      <c r="E1" s="3"/>
    </row>
    <row r="2" spans="1:6" x14ac:dyDescent="0.2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25">
      <c r="A3" s="1">
        <v>1</v>
      </c>
      <c r="B3" s="2">
        <f>InitialMortgage</f>
        <v>180000</v>
      </c>
      <c r="C3" s="7">
        <f>-PPMT(Interest,A3,Term,InitialMortgage)</f>
        <v>3518.8835303589299</v>
      </c>
      <c r="D3" s="7">
        <f>-IPMT(Interest,A3,Term,InitialMortgage,0)</f>
        <v>9900</v>
      </c>
      <c r="E3" s="3">
        <f>C3+D3</f>
        <v>13418.883530358929</v>
      </c>
      <c r="F3" s="3">
        <f>B3-E3</f>
        <v>166581.11646964107</v>
      </c>
    </row>
    <row r="4" spans="1:6" x14ac:dyDescent="0.25">
      <c r="A4" s="1">
        <v>2</v>
      </c>
      <c r="B4" s="2">
        <f>F3</f>
        <v>166581.11646964107</v>
      </c>
      <c r="C4" s="7">
        <f>-PPMT(Inputs!$D$11,A4,25,Inputs!$D$9)</f>
        <v>3712.4221245286699</v>
      </c>
      <c r="D4" s="7">
        <f>-IPMT(Inputs!$D$11,A4,25,Inputs!$D$9)</f>
        <v>9706.4614058302614</v>
      </c>
      <c r="E4" s="3">
        <f t="shared" ref="E4:E27" si="0">C4+D4</f>
        <v>13418.883530358931</v>
      </c>
      <c r="F4" s="3">
        <f t="shared" ref="F4:F27" si="1">B4-E4</f>
        <v>153162.23293928214</v>
      </c>
    </row>
    <row r="5" spans="1:6" x14ac:dyDescent="0.25">
      <c r="A5" s="1">
        <v>3</v>
      </c>
      <c r="B5" s="2">
        <f t="shared" ref="B5:B20" si="2">B4-C4</f>
        <v>162868.6943451124</v>
      </c>
      <c r="C5" s="7">
        <f>-PPMT(Inputs!$D$11,A5,25,Inputs!$D$9)</f>
        <v>3916.6053413777481</v>
      </c>
      <c r="D5" s="7">
        <f>-IPMT(Inputs!$D$11,A5,25,Inputs!$D$9)</f>
        <v>9502.2781889811831</v>
      </c>
      <c r="E5" s="3">
        <f t="shared" si="0"/>
        <v>13418.883530358931</v>
      </c>
      <c r="F5" s="3">
        <f t="shared" si="1"/>
        <v>149449.81081475347</v>
      </c>
    </row>
    <row r="6" spans="1:6" x14ac:dyDescent="0.25">
      <c r="A6" s="1">
        <v>4</v>
      </c>
      <c r="B6" s="2">
        <f t="shared" si="2"/>
        <v>158952.08900373464</v>
      </c>
      <c r="C6" s="7">
        <f>-PPMT(Inputs!$D$11,A6,25,Inputs!$D$9)</f>
        <v>4132.0186351535249</v>
      </c>
      <c r="D6" s="7">
        <f>-IPMT(Inputs!$D$11,A6,25,Inputs!$D$9)</f>
        <v>9286.8648952054045</v>
      </c>
      <c r="E6" s="3">
        <f t="shared" si="0"/>
        <v>13418.883530358929</v>
      </c>
      <c r="F6" s="3">
        <f t="shared" si="1"/>
        <v>145533.20547337571</v>
      </c>
    </row>
    <row r="7" spans="1:6" x14ac:dyDescent="0.25">
      <c r="A7" s="1">
        <v>5</v>
      </c>
      <c r="B7" s="2">
        <f t="shared" si="2"/>
        <v>154820.0703685811</v>
      </c>
      <c r="C7" s="7">
        <f>-PPMT(Inputs!$D$11,A7,25,Inputs!$D$9)</f>
        <v>4359.2796600869669</v>
      </c>
      <c r="D7" s="7">
        <f>-IPMT(Inputs!$D$11,A7,25,Inputs!$D$9)</f>
        <v>9059.6038702719616</v>
      </c>
      <c r="E7" s="3">
        <f t="shared" si="0"/>
        <v>13418.883530358929</v>
      </c>
      <c r="F7" s="3">
        <f t="shared" si="1"/>
        <v>141401.18683822217</v>
      </c>
    </row>
    <row r="8" spans="1:6" x14ac:dyDescent="0.25">
      <c r="A8" s="1">
        <v>6</v>
      </c>
      <c r="B8" s="2">
        <f t="shared" si="2"/>
        <v>150460.79070849414</v>
      </c>
      <c r="C8" s="7">
        <f>-PPMT(Inputs!$D$11,A8,25,Inputs!$D$9)</f>
        <v>4599.0400413917514</v>
      </c>
      <c r="D8" s="7">
        <f>-IPMT(Inputs!$D$11,A8,25,Inputs!$D$9)</f>
        <v>8819.8434889671789</v>
      </c>
      <c r="E8" s="3">
        <f t="shared" si="0"/>
        <v>13418.883530358929</v>
      </c>
      <c r="F8" s="3">
        <f t="shared" si="1"/>
        <v>137041.90717813521</v>
      </c>
    </row>
    <row r="9" spans="1:6" x14ac:dyDescent="0.25">
      <c r="A9" s="1">
        <v>7</v>
      </c>
      <c r="B9" s="2">
        <f t="shared" si="2"/>
        <v>145861.7506671024</v>
      </c>
      <c r="C9" s="7">
        <f>-PPMT(Inputs!$D$11,A9,25,Inputs!$D$9)</f>
        <v>4851.9872436682972</v>
      </c>
      <c r="D9" s="7">
        <f>-IPMT(Inputs!$D$11,A9,25,Inputs!$D$9)</f>
        <v>8566.8962866906313</v>
      </c>
      <c r="E9" s="3">
        <f t="shared" si="0"/>
        <v>13418.883530358929</v>
      </c>
      <c r="F9" s="3">
        <f t="shared" si="1"/>
        <v>132442.86713674347</v>
      </c>
    </row>
    <row r="10" spans="1:6" x14ac:dyDescent="0.25">
      <c r="A10" s="1">
        <v>8</v>
      </c>
      <c r="B10" s="2">
        <f t="shared" si="2"/>
        <v>141009.76342343411</v>
      </c>
      <c r="C10" s="7">
        <f>-PPMT(Inputs!$D$11,A10,25,Inputs!$D$9)</f>
        <v>5118.8465420700531</v>
      </c>
      <c r="D10" s="7">
        <f>-IPMT(Inputs!$D$11,A10,25,Inputs!$D$9)</f>
        <v>8300.0369882888772</v>
      </c>
      <c r="E10" s="3">
        <f t="shared" si="0"/>
        <v>13418.883530358929</v>
      </c>
      <c r="F10" s="3">
        <f t="shared" si="1"/>
        <v>127590.87989307518</v>
      </c>
    </row>
    <row r="11" spans="1:6" x14ac:dyDescent="0.25">
      <c r="A11" s="1">
        <v>9</v>
      </c>
      <c r="B11" s="2">
        <f t="shared" si="2"/>
        <v>135890.91688136404</v>
      </c>
      <c r="C11" s="7">
        <f>-PPMT(Inputs!$D$11,A11,25,Inputs!$D$9)</f>
        <v>5400.3831018839055</v>
      </c>
      <c r="D11" s="7">
        <f>-IPMT(Inputs!$D$11,A11,25,Inputs!$D$9)</f>
        <v>8018.5004284750257</v>
      </c>
      <c r="E11" s="3">
        <f t="shared" si="0"/>
        <v>13418.883530358931</v>
      </c>
      <c r="F11" s="3">
        <f t="shared" si="1"/>
        <v>122472.03335100511</v>
      </c>
    </row>
    <row r="12" spans="1:6" x14ac:dyDescent="0.25">
      <c r="A12" s="1">
        <v>10</v>
      </c>
      <c r="B12" s="2">
        <f t="shared" si="2"/>
        <v>130490.53377948013</v>
      </c>
      <c r="C12" s="7">
        <f>-PPMT(Inputs!$D$11,A12,25,Inputs!$D$9)</f>
        <v>5697.4041724875206</v>
      </c>
      <c r="D12" s="7">
        <f>-IPMT(Inputs!$D$11,A12,25,Inputs!$D$9)</f>
        <v>7721.4793578714098</v>
      </c>
      <c r="E12" s="3">
        <f t="shared" si="0"/>
        <v>13418.883530358929</v>
      </c>
      <c r="F12" s="3">
        <f t="shared" si="1"/>
        <v>117071.6502491212</v>
      </c>
    </row>
    <row r="13" spans="1:6" x14ac:dyDescent="0.25">
      <c r="A13" s="1">
        <v>11</v>
      </c>
      <c r="B13" s="2">
        <f t="shared" si="2"/>
        <v>124793.12960699262</v>
      </c>
      <c r="C13" s="7">
        <f>-PPMT(Inputs!$D$11,A13,25,Inputs!$D$9)</f>
        <v>6010.7614019743351</v>
      </c>
      <c r="D13" s="7">
        <f>-IPMT(Inputs!$D$11,A13,25,Inputs!$D$9)</f>
        <v>7408.1221283845971</v>
      </c>
      <c r="E13" s="3">
        <f t="shared" si="0"/>
        <v>13418.883530358933</v>
      </c>
      <c r="F13" s="3">
        <f t="shared" si="1"/>
        <v>111374.24607663369</v>
      </c>
    </row>
    <row r="14" spans="1:6" x14ac:dyDescent="0.25">
      <c r="A14" s="1">
        <v>12</v>
      </c>
      <c r="B14" s="2">
        <f t="shared" si="2"/>
        <v>118782.36820501828</v>
      </c>
      <c r="C14" s="7">
        <f>-PPMT(Inputs!$D$11,A14,25,Inputs!$D$9)</f>
        <v>6341.3532790829231</v>
      </c>
      <c r="D14" s="7">
        <f>-IPMT(Inputs!$D$11,A14,25,Inputs!$D$9)</f>
        <v>7077.5302512760081</v>
      </c>
      <c r="E14" s="3">
        <f t="shared" si="0"/>
        <v>13418.883530358931</v>
      </c>
      <c r="F14" s="3">
        <f t="shared" si="1"/>
        <v>105363.48467465935</v>
      </c>
    </row>
    <row r="15" spans="1:6" x14ac:dyDescent="0.25">
      <c r="A15" s="1">
        <v>13</v>
      </c>
      <c r="B15" s="2">
        <f t="shared" si="2"/>
        <v>112441.01492593536</v>
      </c>
      <c r="C15" s="7">
        <f>-PPMT(Inputs!$D$11,A15,25,Inputs!$D$9)</f>
        <v>6690.1277094324842</v>
      </c>
      <c r="D15" s="7">
        <f>-IPMT(Inputs!$D$11,A15,25,Inputs!$D$9)</f>
        <v>6728.7558209264471</v>
      </c>
      <c r="E15" s="3">
        <f t="shared" si="0"/>
        <v>13418.883530358931</v>
      </c>
      <c r="F15" s="3">
        <f t="shared" si="1"/>
        <v>99022.131395576434</v>
      </c>
    </row>
    <row r="16" spans="1:6" x14ac:dyDescent="0.25">
      <c r="A16" s="1">
        <v>14</v>
      </c>
      <c r="B16" s="2">
        <f t="shared" si="2"/>
        <v>105750.88721650287</v>
      </c>
      <c r="C16" s="7">
        <f>-PPMT(Inputs!$D$11,A16,25,Inputs!$D$9)</f>
        <v>7058.08473345127</v>
      </c>
      <c r="D16" s="7">
        <f>-IPMT(Inputs!$D$11,A16,25,Inputs!$D$9)</f>
        <v>6360.7987969076594</v>
      </c>
      <c r="E16" s="3">
        <f t="shared" si="0"/>
        <v>13418.883530358929</v>
      </c>
      <c r="F16" s="3">
        <f t="shared" si="1"/>
        <v>92332.003686143944</v>
      </c>
    </row>
    <row r="17" spans="1:6" x14ac:dyDescent="0.25">
      <c r="A17" s="1">
        <v>15</v>
      </c>
      <c r="B17" s="2">
        <f t="shared" si="2"/>
        <v>98692.802483051608</v>
      </c>
      <c r="C17" s="7">
        <f>-PPMT(Inputs!$D$11,A17,25,Inputs!$D$9)</f>
        <v>7446.2793937910901</v>
      </c>
      <c r="D17" s="7">
        <f>-IPMT(Inputs!$D$11,A17,25,Inputs!$D$9)</f>
        <v>5972.6041365678402</v>
      </c>
      <c r="E17" s="3">
        <f t="shared" si="0"/>
        <v>13418.883530358929</v>
      </c>
      <c r="F17" s="3">
        <f t="shared" si="1"/>
        <v>85273.918952692678</v>
      </c>
    </row>
    <row r="18" spans="1:6" x14ac:dyDescent="0.25">
      <c r="A18" s="1">
        <v>16</v>
      </c>
      <c r="B18" s="2">
        <f t="shared" si="2"/>
        <v>91246.523089260518</v>
      </c>
      <c r="C18" s="7">
        <f>-PPMT(Inputs!$D$11,A18,25,Inputs!$D$9)</f>
        <v>7855.8247604496</v>
      </c>
      <c r="D18" s="7">
        <f>-IPMT(Inputs!$D$11,A18,25,Inputs!$D$9)</f>
        <v>5563.0587699093312</v>
      </c>
      <c r="E18" s="3">
        <f t="shared" si="0"/>
        <v>13418.883530358931</v>
      </c>
      <c r="F18" s="3">
        <f t="shared" si="1"/>
        <v>77827.639558901588</v>
      </c>
    </row>
    <row r="19" spans="1:6" x14ac:dyDescent="0.25">
      <c r="A19" s="1">
        <v>17</v>
      </c>
      <c r="B19" s="2">
        <f t="shared" si="2"/>
        <v>83390.698328810919</v>
      </c>
      <c r="C19" s="7">
        <f>-PPMT(Inputs!$D$11,A19,25,Inputs!$D$9)</f>
        <v>8287.895122274329</v>
      </c>
      <c r="D19" s="7">
        <f>-IPMT(Inputs!$D$11,A19,25,Inputs!$D$9)</f>
        <v>5130.9884080846032</v>
      </c>
      <c r="E19" s="3">
        <f t="shared" si="0"/>
        <v>13418.883530358933</v>
      </c>
      <c r="F19" s="3">
        <f t="shared" si="1"/>
        <v>69971.814798451989</v>
      </c>
    </row>
    <row r="20" spans="1:6" x14ac:dyDescent="0.25">
      <c r="A20" s="1">
        <v>18</v>
      </c>
      <c r="B20" s="2">
        <f t="shared" si="2"/>
        <v>75102.803206536584</v>
      </c>
      <c r="C20" s="7">
        <f>-PPMT(Inputs!$D$11,A20,25,Inputs!$D$9)</f>
        <v>8743.7293539994153</v>
      </c>
      <c r="D20" s="7">
        <f>-IPMT(Inputs!$D$11,A20,25,Inputs!$D$9)</f>
        <v>4675.1541763595142</v>
      </c>
      <c r="E20" s="3">
        <f t="shared" si="0"/>
        <v>13418.883530358929</v>
      </c>
      <c r="F20" s="3">
        <f t="shared" si="1"/>
        <v>61683.919676177655</v>
      </c>
    </row>
    <row r="21" spans="1:6" x14ac:dyDescent="0.25">
      <c r="A21" s="1">
        <v>19</v>
      </c>
      <c r="B21" s="2">
        <f t="shared" ref="B21:B27" si="3">B20-C20</f>
        <v>66359.073852537171</v>
      </c>
      <c r="C21" s="7">
        <f>-PPMT(Inputs!$D$11,A21,25,Inputs!$D$9)</f>
        <v>9224.6344684693831</v>
      </c>
      <c r="D21" s="7">
        <f>-IPMT(Inputs!$D$11,A21,25,Inputs!$D$9)</f>
        <v>4194.2490618895463</v>
      </c>
      <c r="E21" s="3">
        <f t="shared" si="0"/>
        <v>13418.883530358929</v>
      </c>
      <c r="F21" s="3">
        <f t="shared" si="1"/>
        <v>52940.190322178241</v>
      </c>
    </row>
    <row r="22" spans="1:6" x14ac:dyDescent="0.25">
      <c r="A22" s="1">
        <v>20</v>
      </c>
      <c r="B22" s="2">
        <f t="shared" si="3"/>
        <v>57134.439384067788</v>
      </c>
      <c r="C22" s="7">
        <f>-PPMT(Inputs!$D$11,A22,25,Inputs!$D$9)</f>
        <v>9731.9893642351999</v>
      </c>
      <c r="D22" s="7">
        <f>-IPMT(Inputs!$D$11,A22,25,Inputs!$D$9)</f>
        <v>3686.8941661237313</v>
      </c>
      <c r="E22" s="3">
        <f t="shared" si="0"/>
        <v>13418.883530358931</v>
      </c>
      <c r="F22" s="3">
        <f t="shared" si="1"/>
        <v>43715.555853708858</v>
      </c>
    </row>
    <row r="23" spans="1:6" x14ac:dyDescent="0.25">
      <c r="A23" s="1">
        <v>21</v>
      </c>
      <c r="B23" s="2">
        <f t="shared" si="3"/>
        <v>47402.450019832584</v>
      </c>
      <c r="C23" s="7">
        <f>-PPMT(Inputs!$D$11,A23,25,Inputs!$D$9)</f>
        <v>10267.248779268135</v>
      </c>
      <c r="D23" s="7">
        <f>-IPMT(Inputs!$D$11,A23,25,Inputs!$D$9)</f>
        <v>3151.6347510907949</v>
      </c>
      <c r="E23" s="3">
        <f t="shared" si="0"/>
        <v>13418.883530358929</v>
      </c>
      <c r="F23" s="3">
        <f t="shared" si="1"/>
        <v>33983.566489473655</v>
      </c>
    </row>
    <row r="24" spans="1:6" x14ac:dyDescent="0.25">
      <c r="A24" s="1">
        <v>22</v>
      </c>
      <c r="B24" s="2">
        <f t="shared" si="3"/>
        <v>37135.201240564449</v>
      </c>
      <c r="C24" s="7">
        <f>-PPMT(Inputs!$D$11,A24,25,Inputs!$D$9)</f>
        <v>10831.947462127884</v>
      </c>
      <c r="D24" s="7">
        <f>-IPMT(Inputs!$D$11,A24,25,Inputs!$D$9)</f>
        <v>2586.9360682310471</v>
      </c>
      <c r="E24" s="3">
        <f t="shared" si="0"/>
        <v>13418.883530358931</v>
      </c>
      <c r="F24" s="3">
        <f t="shared" si="1"/>
        <v>23716.31771020552</v>
      </c>
    </row>
    <row r="25" spans="1:6" x14ac:dyDescent="0.25">
      <c r="A25" s="1">
        <v>23</v>
      </c>
      <c r="B25" s="2">
        <f t="shared" si="3"/>
        <v>26303.253778436563</v>
      </c>
      <c r="C25" s="7">
        <f>-PPMT(Inputs!$D$11,A25,25,Inputs!$D$9)</f>
        <v>11427.704572544917</v>
      </c>
      <c r="D25" s="7">
        <f>-IPMT(Inputs!$D$11,A25,25,Inputs!$D$9)</f>
        <v>1991.1789578140138</v>
      </c>
      <c r="E25" s="3">
        <f t="shared" si="0"/>
        <v>13418.883530358931</v>
      </c>
      <c r="F25" s="3">
        <f t="shared" si="1"/>
        <v>12884.370248077632</v>
      </c>
    </row>
    <row r="26" spans="1:6" x14ac:dyDescent="0.25">
      <c r="A26" s="1">
        <v>24</v>
      </c>
      <c r="B26" s="2">
        <f t="shared" si="3"/>
        <v>14875.549205891646</v>
      </c>
      <c r="C26" s="7">
        <f>-PPMT(Inputs!$D$11,A26,25,Inputs!$D$9)</f>
        <v>12056.228324034886</v>
      </c>
      <c r="D26" s="7">
        <f>-IPMT(Inputs!$D$11,A26,25,Inputs!$D$9)</f>
        <v>1362.6552063240431</v>
      </c>
      <c r="E26" s="3">
        <f t="shared" si="0"/>
        <v>13418.883530358929</v>
      </c>
      <c r="F26" s="3">
        <f t="shared" si="1"/>
        <v>1456.6656755327167</v>
      </c>
    </row>
    <row r="27" spans="1:6" x14ac:dyDescent="0.25">
      <c r="A27" s="1">
        <v>25</v>
      </c>
      <c r="B27" s="2">
        <f t="shared" si="3"/>
        <v>2819.32088185676</v>
      </c>
      <c r="C27" s="7">
        <f>-PPMT(Inputs!$D$11,A27,25,Inputs!$D$9)</f>
        <v>12719.320881856805</v>
      </c>
      <c r="D27" s="7">
        <f>-IPMT(Inputs!$D$11,A27,25,Inputs!$D$9)</f>
        <v>699.56264850212426</v>
      </c>
      <c r="E27" s="3">
        <f t="shared" si="0"/>
        <v>13418.883530358929</v>
      </c>
      <c r="F27" s="3">
        <f t="shared" si="1"/>
        <v>-10599.562648502169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D9" sqref="D9"/>
    </sheetView>
  </sheetViews>
  <sheetFormatPr defaultRowHeight="13.2" x14ac:dyDescent="0.25"/>
  <cols>
    <col min="1" max="1" width="14.109375" bestFit="1" customWidth="1"/>
  </cols>
  <sheetData>
    <row r="1" spans="1:1" x14ac:dyDescent="0.25">
      <c r="A1" t="s">
        <v>12</v>
      </c>
    </row>
    <row r="2" spans="1:1" x14ac:dyDescent="0.25">
      <c r="A2" t="s">
        <v>13</v>
      </c>
    </row>
    <row r="3" spans="1:1" x14ac:dyDescent="0.25">
      <c r="A3" t="s">
        <v>14</v>
      </c>
    </row>
    <row r="4" spans="1:1" x14ac:dyDescent="0.25">
      <c r="A4" t="s">
        <v>15</v>
      </c>
    </row>
    <row r="5" spans="1:1" x14ac:dyDescent="0.25">
      <c r="A5" t="s">
        <v>16</v>
      </c>
    </row>
    <row r="6" spans="1:1" x14ac:dyDescent="0.25">
      <c r="A6" t="s">
        <v>17</v>
      </c>
    </row>
    <row r="7" spans="1:1" x14ac:dyDescent="0.25">
      <c r="A7" t="s">
        <v>18</v>
      </c>
    </row>
    <row r="8" spans="1:1" x14ac:dyDescent="0.25">
      <c r="A8" t="s">
        <v>19</v>
      </c>
    </row>
    <row r="9" spans="1:1" x14ac:dyDescent="0.25">
      <c r="A9" t="s">
        <v>20</v>
      </c>
    </row>
    <row r="10" spans="1:1" x14ac:dyDescent="0.2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Regions</vt:lpstr>
      <vt:lpstr>Term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Bliss</cp:lastModifiedBy>
  <dcterms:created xsi:type="dcterms:W3CDTF">1998-08-26T09:01:21Z</dcterms:created>
  <dcterms:modified xsi:type="dcterms:W3CDTF">2020-04-10T09:16:55Z</dcterms:modified>
</cp:coreProperties>
</file>